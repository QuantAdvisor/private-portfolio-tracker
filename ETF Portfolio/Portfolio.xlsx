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a38dbff5f2f5f88/Quant_Advisor/Python Dashboards/private-portfolio-tracker/ETF Portfolio/"/>
    </mc:Choice>
  </mc:AlternateContent>
  <xr:revisionPtr revIDLastSave="38" documentId="11_39AD0090172E4FB487461FB0EB8312556DEA109A" xr6:coauthVersionLast="47" xr6:coauthVersionMax="47" xr10:uidLastSave="{8C6EF2F4-4844-455E-BEC1-141F2AB0343C}"/>
  <bookViews>
    <workbookView xWindow="-120" yWindow="-120" windowWidth="29040" windowHeight="15720" activeTab="1" xr2:uid="{00000000-000D-0000-FFFF-FFFF00000000}"/>
  </bookViews>
  <sheets>
    <sheet name="Tabelle1" sheetId="1" r:id="rId1"/>
    <sheet name="Altersvorsorge ET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1048570" i="1" s="1"/>
  <c r="H19" i="1"/>
  <c r="H18" i="1"/>
  <c r="H17" i="1"/>
  <c r="H16" i="1"/>
  <c r="H15" i="1"/>
  <c r="H14" i="1"/>
</calcChain>
</file>

<file path=xl/sharedStrings.xml><?xml version="1.0" encoding="utf-8"?>
<sst xmlns="http://schemas.openxmlformats.org/spreadsheetml/2006/main" count="132" uniqueCount="86">
  <si>
    <t>Depot</t>
  </si>
  <si>
    <t>Kategorie</t>
  </si>
  <si>
    <t>Isisn</t>
  </si>
  <si>
    <t>Name</t>
  </si>
  <si>
    <t>Stück</t>
  </si>
  <si>
    <t>Avg_Kaufkurs</t>
  </si>
  <si>
    <t>Sparrate im Monata</t>
  </si>
  <si>
    <t>akuteller kurs (EUR)</t>
  </si>
  <si>
    <t>Scalable Christian</t>
  </si>
  <si>
    <t>Income</t>
  </si>
  <si>
    <t>IE00B14X4T88</t>
  </si>
  <si>
    <t>iShares Asia Pacific Dividend (Dist)</t>
  </si>
  <si>
    <t>IE00B652H904</t>
  </si>
  <si>
    <t>iShares Emerging Markets Dividend (Dist)</t>
  </si>
  <si>
    <t>IE00B0M63060</t>
  </si>
  <si>
    <t>iShares UK Dividend (Dist)</t>
  </si>
  <si>
    <t>IE0005AJA0P1</t>
  </si>
  <si>
    <t>L&amp;G Global Quality Dividends (Dist)</t>
  </si>
  <si>
    <t>IE00B6YX5D40</t>
  </si>
  <si>
    <t>State Street SPDR S&amp;P US Dividend Aristocrats (Dist)</t>
  </si>
  <si>
    <t>NL0011683594</t>
  </si>
  <si>
    <t>VanEck Morningstar Developed Markets Dividend Leader</t>
  </si>
  <si>
    <t>LU0292095535</t>
  </si>
  <si>
    <t>Xtrackers Euro Stoxx Quality Dividend (Dist)</t>
  </si>
  <si>
    <t>Growth</t>
  </si>
  <si>
    <t>IE00BF4RFH31</t>
  </si>
  <si>
    <t>iShares MSCI World Small Cap (Acc)</t>
  </si>
  <si>
    <t>LU2903252349</t>
  </si>
  <si>
    <t>Scalable MSCI AC World Xtrackers (Acc)</t>
  </si>
  <si>
    <t>Ing Gemeinschaftsdepot</t>
  </si>
  <si>
    <t>Basisinvestment</t>
  </si>
  <si>
    <t> IE00B53QG562</t>
  </si>
  <si>
    <t>ISH.7-C.MSCI E.U.E EO ACC</t>
  </si>
  <si>
    <t>IE00B4L5YC18</t>
  </si>
  <si>
    <t>ISHSIII-MSCI EM USD(ACC)</t>
  </si>
  <si>
    <t>IE00BKX55T58</t>
  </si>
  <si>
    <t>VANG.FTSE DEV.W.U.ETF DLD</t>
  </si>
  <si>
    <t>Christian Riester</t>
  </si>
  <si>
    <t>Riestervertrag</t>
  </si>
  <si>
    <t>IE00BL25JN58</t>
  </si>
  <si>
    <t>Xtrackers MSCI World Min Vol ETF</t>
  </si>
  <si>
    <t>unbekannt</t>
  </si>
  <si>
    <t>IE00B8KGV557</t>
  </si>
  <si>
    <t>iShares Edge MSCI EM Min Vol ETF</t>
  </si>
  <si>
    <t>IE00B8FHGS14</t>
  </si>
  <si>
    <t>iShares Edge MSCI World Minimum V.</t>
  </si>
  <si>
    <t>IE00B86MWN23</t>
  </si>
  <si>
    <t>iShares MSCI Europe Minimum Volat.</t>
  </si>
  <si>
    <t>LU1681041627</t>
  </si>
  <si>
    <t>Amundi Solution MSCI Europe Min Vol</t>
  </si>
  <si>
    <t>IE00BKVL7331</t>
  </si>
  <si>
    <t>iShares Edge MSCI USA Min Vol ESG</t>
  </si>
  <si>
    <t>Christian Trade Republic</t>
  </si>
  <si>
    <t>DE000A2QP349</t>
  </si>
  <si>
    <t>ETF Mdax</t>
  </si>
  <si>
    <t>LU2611732475</t>
  </si>
  <si>
    <t>ETF SDAX</t>
  </si>
  <si>
    <t>IE00BP3QZ825</t>
  </si>
  <si>
    <t>World Momentum</t>
  </si>
  <si>
    <t>IE00BP3QZ601</t>
  </si>
  <si>
    <t>World Quality</t>
  </si>
  <si>
    <t>IE00BQN1K786</t>
  </si>
  <si>
    <t>Europe Momentum</t>
  </si>
  <si>
    <t>LU1681042435</t>
  </si>
  <si>
    <t>Europe Growth</t>
  </si>
  <si>
    <t>Altersvorsorge ETF</t>
  </si>
  <si>
    <t>IE00BKM4GZ66</t>
  </si>
  <si>
    <t>iShares Core MSCI Emerging Markets IMI (Acc)</t>
  </si>
  <si>
    <t>IE00B4L5YX21</t>
  </si>
  <si>
    <t>iShares Core MSCI Japan IMI (Acc)</t>
  </si>
  <si>
    <t>IE00B52MJY50</t>
  </si>
  <si>
    <t>iShares Core MSCI Pacific ex Japan (Acc)</t>
  </si>
  <si>
    <t>iShares Edge MSCI Europe Momentum Factor (Acc)</t>
  </si>
  <si>
    <t>iShares Edge MSCI Europe Quality Factor (Acc)</t>
  </si>
  <si>
    <t>IE00BQN1K562</t>
  </si>
  <si>
    <t>IE00BQN1K901</t>
  </si>
  <si>
    <t>iShares Edge MSCI Europe Value Factor (Acc)</t>
  </si>
  <si>
    <t>IE00BD1F4N50</t>
  </si>
  <si>
    <t>iShares Edge MSCI USA Momentum Factor (Acc)</t>
  </si>
  <si>
    <t>iShares Edge MSCI USA Quality Factor (Acc)</t>
  </si>
  <si>
    <t>IE00BD1F4L37</t>
  </si>
  <si>
    <t>IE00BD1F4M44</t>
  </si>
  <si>
    <t>iShares Edge MSCI USA Value Factor (Acc)</t>
  </si>
  <si>
    <t>LU0322253906</t>
  </si>
  <si>
    <t>Xtrackers MSCI Europe Small Cap (Acc)</t>
  </si>
  <si>
    <t>Kurs 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</si>
</sst>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44" fontId="1" fillId="0" borderId="0" xfId="2"/>
    <xf numFmtId="43" fontId="0" fillId="0" borderId="0" xfId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3" fontId="0" fillId="0" borderId="0" xfId="1" applyFont="1" applyAlignment="1">
      <alignment horizontal="right" vertical="center" wrapText="1"/>
    </xf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2" fillId="0" borderId="0" xfId="0" applyFont="1"/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0"/>
  <sheetViews>
    <sheetView workbookViewId="0">
      <selection activeCell="E14" sqref="E14"/>
    </sheetView>
  </sheetViews>
  <sheetFormatPr baseColWidth="10" defaultRowHeight="12.75" x14ac:dyDescent="0.2"/>
  <cols>
    <col min="1" max="1" width="21.28515625" bestFit="1" customWidth="1"/>
    <col min="2" max="2" width="14.5703125" bestFit="1" customWidth="1"/>
    <col min="3" max="3" width="20.5703125" style="1" bestFit="1" customWidth="1"/>
    <col min="4" max="4" width="71.85546875" style="1" bestFit="1" customWidth="1"/>
    <col min="5" max="5" width="12.7109375" bestFit="1" customWidth="1"/>
    <col min="6" max="6" width="13.42578125" style="2" bestFit="1" customWidth="1"/>
    <col min="7" max="7" width="18.5703125" style="2" bestFit="1" customWidth="1"/>
  </cols>
  <sheetData>
    <row r="1" spans="1:8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 t="s">
        <v>5</v>
      </c>
      <c r="G1" s="2" t="s">
        <v>6</v>
      </c>
      <c r="H1" t="s">
        <v>7</v>
      </c>
    </row>
    <row r="2" spans="1:8" x14ac:dyDescent="0.2">
      <c r="A2" t="s">
        <v>8</v>
      </c>
      <c r="B2" t="s">
        <v>9</v>
      </c>
      <c r="C2" s="1" t="s">
        <v>10</v>
      </c>
      <c r="D2" s="1" t="s">
        <v>11</v>
      </c>
      <c r="E2" s="3">
        <v>64.537589999999994</v>
      </c>
      <c r="F2" s="2">
        <v>24.07</v>
      </c>
      <c r="G2" s="2">
        <v>0</v>
      </c>
      <c r="H2">
        <v>26.33</v>
      </c>
    </row>
    <row r="3" spans="1:8" x14ac:dyDescent="0.2">
      <c r="A3" t="s">
        <v>8</v>
      </c>
      <c r="B3" t="s">
        <v>9</v>
      </c>
      <c r="C3" s="1" t="s">
        <v>12</v>
      </c>
      <c r="D3" s="1" t="s">
        <v>13</v>
      </c>
      <c r="E3" s="3">
        <v>191.21033600000001</v>
      </c>
      <c r="F3" s="2">
        <v>15.53</v>
      </c>
      <c r="G3" s="2">
        <v>0</v>
      </c>
      <c r="H3">
        <v>16.28</v>
      </c>
    </row>
    <row r="4" spans="1:8" x14ac:dyDescent="0.2">
      <c r="A4" t="s">
        <v>8</v>
      </c>
      <c r="B4" t="s">
        <v>9</v>
      </c>
      <c r="C4" s="1" t="s">
        <v>14</v>
      </c>
      <c r="D4" s="1" t="s">
        <v>15</v>
      </c>
      <c r="E4" s="3">
        <v>117.968766</v>
      </c>
      <c r="F4" s="2">
        <v>11.57</v>
      </c>
      <c r="G4" s="2">
        <v>0</v>
      </c>
      <c r="H4">
        <v>11.17</v>
      </c>
    </row>
    <row r="5" spans="1:8" x14ac:dyDescent="0.2">
      <c r="A5" t="s">
        <v>8</v>
      </c>
      <c r="B5" t="s">
        <v>9</v>
      </c>
      <c r="C5" s="1" t="s">
        <v>16</v>
      </c>
      <c r="D5" s="1" t="s">
        <v>17</v>
      </c>
      <c r="E5" s="3">
        <v>525</v>
      </c>
      <c r="F5" s="2">
        <v>9.25</v>
      </c>
      <c r="G5" s="2">
        <v>0</v>
      </c>
      <c r="H5">
        <v>9.49</v>
      </c>
    </row>
    <row r="6" spans="1:8" x14ac:dyDescent="0.2">
      <c r="A6" t="s">
        <v>8</v>
      </c>
      <c r="B6" t="s">
        <v>9</v>
      </c>
      <c r="C6" s="1" t="s">
        <v>18</v>
      </c>
      <c r="D6" s="4" t="s">
        <v>19</v>
      </c>
      <c r="E6" s="3">
        <v>35.496037000000001</v>
      </c>
      <c r="F6" s="2">
        <v>70.66</v>
      </c>
      <c r="G6" s="2">
        <v>0</v>
      </c>
      <c r="H6">
        <v>72.42</v>
      </c>
    </row>
    <row r="7" spans="1:8" x14ac:dyDescent="0.2">
      <c r="A7" t="s">
        <v>8</v>
      </c>
      <c r="B7" t="s">
        <v>9</v>
      </c>
      <c r="C7" s="1" t="s">
        <v>20</v>
      </c>
      <c r="D7" s="1" t="s">
        <v>21</v>
      </c>
      <c r="E7" s="3">
        <v>74.027923999999999</v>
      </c>
      <c r="F7" s="2">
        <v>51.97</v>
      </c>
      <c r="G7" s="2">
        <v>0</v>
      </c>
      <c r="H7">
        <v>51.75</v>
      </c>
    </row>
    <row r="8" spans="1:8" x14ac:dyDescent="0.2">
      <c r="A8" t="s">
        <v>8</v>
      </c>
      <c r="B8" t="s">
        <v>9</v>
      </c>
      <c r="C8" s="1" t="s">
        <v>22</v>
      </c>
      <c r="D8" s="1" t="s">
        <v>23</v>
      </c>
      <c r="E8" s="3">
        <v>102.222403</v>
      </c>
      <c r="F8" s="2">
        <v>20.12</v>
      </c>
      <c r="G8" s="2">
        <v>0</v>
      </c>
      <c r="H8">
        <v>30.88</v>
      </c>
    </row>
    <row r="9" spans="1:8" x14ac:dyDescent="0.2">
      <c r="A9" t="s">
        <v>8</v>
      </c>
      <c r="B9" t="s">
        <v>24</v>
      </c>
      <c r="C9" s="1" t="s">
        <v>25</v>
      </c>
      <c r="D9" s="1" t="s">
        <v>26</v>
      </c>
      <c r="E9" s="3">
        <v>126.982055</v>
      </c>
      <c r="F9" s="2">
        <v>8.56</v>
      </c>
      <c r="G9" s="2">
        <v>75</v>
      </c>
      <c r="H9">
        <v>9.11</v>
      </c>
    </row>
    <row r="10" spans="1:8" x14ac:dyDescent="0.2">
      <c r="A10" t="s">
        <v>8</v>
      </c>
      <c r="B10" t="s">
        <v>24</v>
      </c>
      <c r="C10" s="1" t="s">
        <v>27</v>
      </c>
      <c r="D10" s="1" t="s">
        <v>28</v>
      </c>
      <c r="E10" s="3">
        <v>127.60736799999999</v>
      </c>
      <c r="F10" s="2">
        <v>10.31</v>
      </c>
      <c r="G10" s="2">
        <v>75</v>
      </c>
      <c r="H10">
        <v>11.82</v>
      </c>
    </row>
    <row r="11" spans="1:8" x14ac:dyDescent="0.2">
      <c r="A11" t="s">
        <v>29</v>
      </c>
      <c r="B11" t="s">
        <v>30</v>
      </c>
      <c r="C11" s="1" t="s">
        <v>31</v>
      </c>
      <c r="D11" s="1" t="s">
        <v>32</v>
      </c>
      <c r="E11" s="3">
        <v>23.040150000000001</v>
      </c>
      <c r="F11" s="2">
        <v>185.15309999999999</v>
      </c>
      <c r="G11" s="2">
        <v>100</v>
      </c>
      <c r="H11">
        <v>245.9</v>
      </c>
    </row>
    <row r="12" spans="1:8" x14ac:dyDescent="0.2">
      <c r="A12" t="s">
        <v>29</v>
      </c>
      <c r="B12" t="s">
        <v>30</v>
      </c>
      <c r="C12" s="1" t="s">
        <v>33</v>
      </c>
      <c r="D12" s="1" t="s">
        <v>34</v>
      </c>
      <c r="E12" s="3">
        <v>74.364729999999994</v>
      </c>
      <c r="F12" s="2">
        <v>39.485021000000003</v>
      </c>
      <c r="G12" s="2">
        <v>150</v>
      </c>
      <c r="H12">
        <v>58.502000000000002</v>
      </c>
    </row>
    <row r="13" spans="1:8" x14ac:dyDescent="0.2">
      <c r="A13" t="s">
        <v>29</v>
      </c>
      <c r="B13" t="s">
        <v>30</v>
      </c>
      <c r="C13" s="1" t="s">
        <v>35</v>
      </c>
      <c r="D13" s="1" t="s">
        <v>36</v>
      </c>
      <c r="E13" s="3">
        <v>27.080179999999999</v>
      </c>
      <c r="F13" s="2">
        <v>106.55073</v>
      </c>
      <c r="H13">
        <v>124</v>
      </c>
    </row>
    <row r="14" spans="1:8" x14ac:dyDescent="0.2">
      <c r="A14" t="s">
        <v>37</v>
      </c>
      <c r="B14" t="s">
        <v>38</v>
      </c>
      <c r="C14" s="5" t="s">
        <v>39</v>
      </c>
      <c r="D14" s="5" t="s">
        <v>40</v>
      </c>
      <c r="E14" s="6">
        <v>197.41</v>
      </c>
      <c r="F14" s="2" t="s">
        <v>41</v>
      </c>
      <c r="G14" s="2">
        <v>47.159498327750903</v>
      </c>
      <c r="H14">
        <f>8404.59/197.41</f>
        <v>42.574287016868446</v>
      </c>
    </row>
    <row r="15" spans="1:8" x14ac:dyDescent="0.2">
      <c r="A15" t="s">
        <v>37</v>
      </c>
      <c r="B15" t="s">
        <v>38</v>
      </c>
      <c r="C15" s="5" t="s">
        <v>42</v>
      </c>
      <c r="D15" s="5" t="s">
        <v>43</v>
      </c>
      <c r="E15" s="6">
        <v>78.364500000000007</v>
      </c>
      <c r="F15" s="2" t="s">
        <v>41</v>
      </c>
      <c r="G15" s="2">
        <v>16.936579181269249</v>
      </c>
      <c r="H15" s="10">
        <f>3186.32/E15</f>
        <v>40.660247943903173</v>
      </c>
    </row>
    <row r="16" spans="1:8" x14ac:dyDescent="0.2">
      <c r="A16" t="s">
        <v>37</v>
      </c>
      <c r="B16" t="s">
        <v>38</v>
      </c>
      <c r="C16" s="5" t="s">
        <v>44</v>
      </c>
      <c r="D16" s="5" t="s">
        <v>45</v>
      </c>
      <c r="E16" s="6">
        <v>98.041399999999996</v>
      </c>
      <c r="F16" s="2" t="s">
        <v>41</v>
      </c>
      <c r="G16" s="2">
        <v>34.890872137796279</v>
      </c>
      <c r="H16" s="10">
        <f>6221.62/E16</f>
        <v>63.459110131026286</v>
      </c>
    </row>
    <row r="17" spans="1:8" x14ac:dyDescent="0.2">
      <c r="A17" t="s">
        <v>37</v>
      </c>
      <c r="B17" t="s">
        <v>38</v>
      </c>
      <c r="C17" s="5" t="s">
        <v>46</v>
      </c>
      <c r="D17" s="5" t="s">
        <v>47</v>
      </c>
      <c r="E17" s="6">
        <v>103.04089999999999</v>
      </c>
      <c r="F17" s="2" t="s">
        <v>41</v>
      </c>
      <c r="G17" s="2">
        <v>35.924325552915803</v>
      </c>
      <c r="H17" s="10">
        <f>7488.5/E17</f>
        <v>72.675025159912238</v>
      </c>
    </row>
    <row r="18" spans="1:8" x14ac:dyDescent="0.2">
      <c r="A18" t="s">
        <v>37</v>
      </c>
      <c r="B18" t="s">
        <v>38</v>
      </c>
      <c r="C18" s="5" t="s">
        <v>48</v>
      </c>
      <c r="D18" s="5" t="s">
        <v>49</v>
      </c>
      <c r="E18" s="6">
        <v>22.858000000000001</v>
      </c>
      <c r="F18" s="2" t="s">
        <v>41</v>
      </c>
      <c r="G18" s="2">
        <v>17.99783531569442</v>
      </c>
      <c r="H18" s="10">
        <f>3745.51/E18</f>
        <v>163.85991775308426</v>
      </c>
    </row>
    <row r="19" spans="1:8" x14ac:dyDescent="0.2">
      <c r="A19" t="s">
        <v>37</v>
      </c>
      <c r="B19" t="s">
        <v>38</v>
      </c>
      <c r="C19" s="5" t="s">
        <v>50</v>
      </c>
      <c r="D19" s="5" t="s">
        <v>51</v>
      </c>
      <c r="E19" s="6">
        <v>295.90980000000002</v>
      </c>
      <c r="F19" s="2" t="s">
        <v>41</v>
      </c>
      <c r="G19" s="2">
        <v>12.090889484573371</v>
      </c>
      <c r="H19" s="10">
        <f>2182.9/E19</f>
        <v>7.3769101259910954</v>
      </c>
    </row>
    <row r="20" spans="1:8" x14ac:dyDescent="0.2">
      <c r="A20" t="s">
        <v>52</v>
      </c>
      <c r="B20" t="s">
        <v>24</v>
      </c>
      <c r="C20" s="5" t="s">
        <v>53</v>
      </c>
      <c r="D20" s="5" t="s">
        <v>54</v>
      </c>
      <c r="E20" s="6">
        <v>51.949585999999996</v>
      </c>
      <c r="F20" s="2">
        <v>4.3</v>
      </c>
      <c r="G20" s="2">
        <v>25</v>
      </c>
      <c r="H20">
        <v>4.5279999999999996</v>
      </c>
    </row>
    <row r="21" spans="1:8" x14ac:dyDescent="0.2">
      <c r="A21" t="s">
        <v>52</v>
      </c>
      <c r="B21" t="s">
        <v>24</v>
      </c>
      <c r="C21" s="5" t="s">
        <v>55</v>
      </c>
      <c r="D21" s="5" t="s">
        <v>56</v>
      </c>
      <c r="E21" s="6">
        <v>1.419203</v>
      </c>
      <c r="F21" s="2">
        <v>136.62</v>
      </c>
      <c r="G21" s="2">
        <v>25</v>
      </c>
      <c r="H21">
        <v>141.47999999999999</v>
      </c>
    </row>
    <row r="22" spans="1:8" x14ac:dyDescent="0.2">
      <c r="A22" t="s">
        <v>52</v>
      </c>
      <c r="B22" t="s">
        <v>24</v>
      </c>
      <c r="C22" s="5" t="s">
        <v>57</v>
      </c>
      <c r="D22" s="5" t="s">
        <v>58</v>
      </c>
      <c r="E22" s="7">
        <v>1.0775680000000001</v>
      </c>
      <c r="F22" s="2">
        <v>89.33</v>
      </c>
      <c r="G22" s="2">
        <v>25</v>
      </c>
      <c r="H22">
        <v>109.26</v>
      </c>
    </row>
    <row r="23" spans="1:8" x14ac:dyDescent="0.2">
      <c r="A23" t="s">
        <v>52</v>
      </c>
      <c r="B23" t="s">
        <v>24</v>
      </c>
      <c r="C23" s="5" t="s">
        <v>59</v>
      </c>
      <c r="D23" s="5" t="s">
        <v>60</v>
      </c>
      <c r="E23" s="8">
        <v>1.3852500000000001</v>
      </c>
      <c r="F23" s="2">
        <v>71.03</v>
      </c>
      <c r="G23" s="2">
        <v>25</v>
      </c>
      <c r="H23">
        <v>76.14</v>
      </c>
    </row>
    <row r="24" spans="1:8" x14ac:dyDescent="0.2">
      <c r="A24" t="s">
        <v>52</v>
      </c>
      <c r="B24" t="s">
        <v>24</v>
      </c>
      <c r="C24" s="5" t="s">
        <v>61</v>
      </c>
      <c r="D24" s="5" t="s">
        <v>62</v>
      </c>
      <c r="E24" s="8">
        <v>6.5267099999999996</v>
      </c>
      <c r="F24" s="2">
        <v>15.14</v>
      </c>
      <c r="G24" s="2">
        <v>25</v>
      </c>
      <c r="H24">
        <v>15.99</v>
      </c>
    </row>
    <row r="25" spans="1:8" x14ac:dyDescent="0.2">
      <c r="A25" t="s">
        <v>52</v>
      </c>
      <c r="B25" t="s">
        <v>24</v>
      </c>
      <c r="C25" s="5" t="s">
        <v>63</v>
      </c>
      <c r="D25" s="5" t="s">
        <v>64</v>
      </c>
      <c r="E25" s="8">
        <v>0.28575099999999998</v>
      </c>
      <c r="F25" s="2">
        <v>344.22</v>
      </c>
      <c r="G25" s="2">
        <v>25</v>
      </c>
      <c r="H25">
        <v>372.2</v>
      </c>
    </row>
    <row r="26" spans="1:8" x14ac:dyDescent="0.2">
      <c r="D26" s="5"/>
      <c r="E26" s="9"/>
      <c r="G26" s="2">
        <f>SUM(G2:G25)</f>
        <v>715</v>
      </c>
    </row>
    <row r="27" spans="1:8" x14ac:dyDescent="0.2">
      <c r="A27" s="9"/>
      <c r="B27" s="9"/>
      <c r="C27" s="5"/>
      <c r="D27" s="5"/>
      <c r="E27" s="9"/>
    </row>
    <row r="1048570" spans="7:7" x14ac:dyDescent="0.2">
      <c r="G1048570" s="2">
        <f>SUM(G2:G1048569)</f>
        <v>1430</v>
      </c>
    </row>
  </sheetData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304E-48D0-4B07-9AFB-9EB8FC11ABF1}">
  <dimension ref="A1:C11"/>
  <sheetViews>
    <sheetView tabSelected="1" workbookViewId="0">
      <selection activeCell="C12" sqref="C12"/>
    </sheetView>
  </sheetViews>
  <sheetFormatPr baseColWidth="10" defaultRowHeight="14.25" x14ac:dyDescent="0.2"/>
  <cols>
    <col min="1" max="1" width="19.140625" style="11" bestFit="1" customWidth="1"/>
    <col min="2" max="2" width="50.5703125" style="11" bestFit="1" customWidth="1"/>
  </cols>
  <sheetData>
    <row r="1" spans="1:3" x14ac:dyDescent="0.2">
      <c r="A1" s="11" t="s">
        <v>65</v>
      </c>
      <c r="C1" t="s">
        <v>85</v>
      </c>
    </row>
    <row r="2" spans="1:3" x14ac:dyDescent="0.2">
      <c r="A2" s="11" t="s">
        <v>66</v>
      </c>
      <c r="B2" s="11" t="s">
        <v>67</v>
      </c>
      <c r="C2">
        <v>50.83</v>
      </c>
    </row>
    <row r="3" spans="1:3" x14ac:dyDescent="0.2">
      <c r="A3" s="11" t="s">
        <v>68</v>
      </c>
      <c r="B3" s="11" t="s">
        <v>69</v>
      </c>
      <c r="C3">
        <v>72.650000000000006</v>
      </c>
    </row>
    <row r="4" spans="1:3" x14ac:dyDescent="0.2">
      <c r="A4" s="11" t="s">
        <v>70</v>
      </c>
      <c r="B4" s="11" t="s">
        <v>71</v>
      </c>
      <c r="C4">
        <v>207.05</v>
      </c>
    </row>
    <row r="5" spans="1:3" x14ac:dyDescent="0.2">
      <c r="A5" s="11" t="s">
        <v>61</v>
      </c>
      <c r="B5" s="11" t="s">
        <v>72</v>
      </c>
      <c r="C5">
        <v>16.02</v>
      </c>
    </row>
    <row r="6" spans="1:3" x14ac:dyDescent="0.2">
      <c r="A6" s="11" t="s">
        <v>74</v>
      </c>
      <c r="B6" s="11" t="s">
        <v>73</v>
      </c>
      <c r="C6">
        <v>11.94</v>
      </c>
    </row>
    <row r="7" spans="1:3" x14ac:dyDescent="0.2">
      <c r="A7" s="11" t="s">
        <v>75</v>
      </c>
      <c r="B7" s="11" t="s">
        <v>76</v>
      </c>
      <c r="C7">
        <v>13.7</v>
      </c>
    </row>
    <row r="8" spans="1:3" x14ac:dyDescent="0.2">
      <c r="A8" s="11" t="s">
        <v>77</v>
      </c>
      <c r="B8" s="11" t="s">
        <v>78</v>
      </c>
      <c r="C8">
        <v>21.05</v>
      </c>
    </row>
    <row r="9" spans="1:3" x14ac:dyDescent="0.2">
      <c r="A9" s="11" t="s">
        <v>80</v>
      </c>
      <c r="B9" s="11" t="s">
        <v>79</v>
      </c>
      <c r="C9">
        <v>15.88</v>
      </c>
    </row>
    <row r="10" spans="1:3" x14ac:dyDescent="0.2">
      <c r="A10" s="11" t="s">
        <v>81</v>
      </c>
      <c r="B10" s="11" t="s">
        <v>82</v>
      </c>
      <c r="C10">
        <v>17.07</v>
      </c>
    </row>
    <row r="11" spans="1:3" x14ac:dyDescent="0.2">
      <c r="A11" s="11" t="s">
        <v>83</v>
      </c>
      <c r="B11" s="11" t="s">
        <v>84</v>
      </c>
      <c r="C11">
        <v>72.69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Altersvorsorge 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Schott</dc:creator>
  <cp:lastModifiedBy>Christian Schott</cp:lastModifiedBy>
  <dcterms:created xsi:type="dcterms:W3CDTF">2026-06-21T18:30:54Z</dcterms:created>
  <dcterms:modified xsi:type="dcterms:W3CDTF">2026-06-22T18:16:51Z</dcterms:modified>
</cp:coreProperties>
</file>